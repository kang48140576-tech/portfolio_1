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동현\Desktop\무역캠프\"/>
    </mc:Choice>
  </mc:AlternateContent>
  <xr:revisionPtr revIDLastSave="0" documentId="8_{8E068F66-800C-4D27-9227-4A1E948BDC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CL" sheetId="1" r:id="rId1"/>
    <sheet name="LCL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0" i="1" l="1"/>
  <c r="C29" i="1"/>
  <c r="E34" i="1"/>
  <c r="D7" i="4"/>
  <c r="E7" i="4"/>
  <c r="F7" i="4"/>
  <c r="D8" i="4"/>
  <c r="E8" i="4"/>
  <c r="F8" i="4"/>
  <c r="C8" i="4"/>
  <c r="C7" i="4"/>
  <c r="C25" i="4"/>
  <c r="D25" i="4"/>
  <c r="E25" i="4"/>
  <c r="F25" i="4"/>
  <c r="D23" i="4"/>
  <c r="D6" i="4"/>
  <c r="E6" i="4"/>
  <c r="F6" i="4"/>
  <c r="D12" i="4"/>
  <c r="D13" i="4" s="1"/>
  <c r="E12" i="4"/>
  <c r="E13" i="4" s="1"/>
  <c r="F12" i="4"/>
  <c r="F13" i="4" s="1"/>
  <c r="D17" i="4"/>
  <c r="E17" i="4"/>
  <c r="F17" i="4"/>
  <c r="D18" i="4"/>
  <c r="E18" i="4"/>
  <c r="F18" i="4"/>
  <c r="D19" i="4"/>
  <c r="E19" i="4"/>
  <c r="F19" i="4"/>
  <c r="D20" i="4"/>
  <c r="E20" i="4"/>
  <c r="F20" i="4"/>
  <c r="F23" i="4"/>
  <c r="C19" i="4"/>
  <c r="C20" i="4"/>
  <c r="C18" i="4"/>
  <c r="C17" i="4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7" i="1"/>
  <c r="H17" i="1"/>
  <c r="I17" i="1"/>
  <c r="E9" i="1"/>
  <c r="E17" i="1" s="1"/>
  <c r="F9" i="1"/>
  <c r="F17" i="1" s="1"/>
  <c r="F19" i="1" s="1"/>
  <c r="F21" i="1" s="1"/>
  <c r="E10" i="1"/>
  <c r="F10" i="1"/>
  <c r="E11" i="1"/>
  <c r="F11" i="1"/>
  <c r="E12" i="1"/>
  <c r="F12" i="1"/>
  <c r="E13" i="1"/>
  <c r="F13" i="1"/>
  <c r="E14" i="1"/>
  <c r="F14" i="1"/>
  <c r="E15" i="1"/>
  <c r="F15" i="1"/>
  <c r="J7" i="1"/>
  <c r="I7" i="1"/>
  <c r="J6" i="1"/>
  <c r="J8" i="1" s="1"/>
  <c r="J18" i="1" s="1"/>
  <c r="J24" i="1" s="1"/>
  <c r="I6" i="1"/>
  <c r="I8" i="1" s="1"/>
  <c r="I18" i="1" s="1"/>
  <c r="H7" i="1"/>
  <c r="G7" i="1"/>
  <c r="H6" i="1"/>
  <c r="H8" i="1" s="1"/>
  <c r="H18" i="1" s="1"/>
  <c r="H24" i="1" s="1"/>
  <c r="G6" i="1"/>
  <c r="G8" i="1" s="1"/>
  <c r="G19" i="1" s="1"/>
  <c r="G21" i="1" s="1"/>
  <c r="F7" i="1"/>
  <c r="E7" i="1"/>
  <c r="F6" i="1"/>
  <c r="F8" i="1" s="1"/>
  <c r="F18" i="1" s="1"/>
  <c r="F24" i="1" s="1"/>
  <c r="E6" i="1"/>
  <c r="E8" i="1" s="1"/>
  <c r="E18" i="1" s="1"/>
  <c r="D14" i="1"/>
  <c r="D10" i="1"/>
  <c r="D9" i="1"/>
  <c r="D15" i="1"/>
  <c r="D13" i="1"/>
  <c r="D12" i="1"/>
  <c r="D11" i="1"/>
  <c r="C15" i="1"/>
  <c r="C14" i="1"/>
  <c r="C13" i="1"/>
  <c r="C12" i="1"/>
  <c r="C11" i="1"/>
  <c r="C10" i="1"/>
  <c r="D7" i="1"/>
  <c r="C7" i="1"/>
  <c r="C9" i="1"/>
  <c r="J17" i="1" l="1"/>
  <c r="J19" i="1"/>
  <c r="J21" i="1" s="1"/>
  <c r="J22" i="1" s="1"/>
  <c r="J23" i="1" s="1"/>
  <c r="I19" i="1"/>
  <c r="I21" i="1" s="1"/>
  <c r="E19" i="1"/>
  <c r="E21" i="1" s="1"/>
  <c r="E22" i="1" s="1"/>
  <c r="E23" i="1" s="1"/>
  <c r="E24" i="1" s="1"/>
  <c r="G18" i="1"/>
  <c r="H19" i="1"/>
  <c r="H21" i="1" s="1"/>
  <c r="H22" i="1" s="1"/>
  <c r="H23" i="1" s="1"/>
  <c r="E14" i="4"/>
  <c r="E22" i="4" s="1"/>
  <c r="E24" i="4" s="1"/>
  <c r="E26" i="4" s="1"/>
  <c r="E16" i="4"/>
  <c r="E15" i="4"/>
  <c r="F15" i="4"/>
  <c r="F14" i="4"/>
  <c r="F16" i="4"/>
  <c r="D16" i="4"/>
  <c r="D15" i="4"/>
  <c r="D14" i="4"/>
  <c r="E23" i="4"/>
  <c r="F22" i="1"/>
  <c r="F23" i="1" s="1"/>
  <c r="G22" i="1"/>
  <c r="G23" i="1" s="1"/>
  <c r="G24" i="1" s="1"/>
  <c r="I22" i="1"/>
  <c r="I23" i="1" s="1"/>
  <c r="I24" i="1" s="1"/>
  <c r="C28" i="1"/>
  <c r="C27" i="1"/>
  <c r="D22" i="4" l="1"/>
  <c r="D24" i="4" s="1"/>
  <c r="D26" i="4" s="1"/>
  <c r="D27" i="4" s="1"/>
  <c r="D28" i="4" s="1"/>
  <c r="F22" i="4"/>
  <c r="F24" i="4" s="1"/>
  <c r="F26" i="4" s="1"/>
  <c r="F27" i="4" s="1"/>
  <c r="F28" i="4" s="1"/>
  <c r="E27" i="4"/>
  <c r="E28" i="4" s="1"/>
  <c r="C12" i="4"/>
  <c r="C13" i="4" l="1"/>
  <c r="C6" i="4"/>
  <c r="C17" i="1"/>
  <c r="C14" i="4" l="1"/>
  <c r="C15" i="4"/>
  <c r="C16" i="4"/>
  <c r="D17" i="1"/>
  <c r="C23" i="4"/>
  <c r="D6" i="1"/>
  <c r="D8" i="1" s="1"/>
  <c r="C6" i="1"/>
  <c r="C8" i="1" l="1"/>
  <c r="C18" i="1" s="1"/>
  <c r="D19" i="1"/>
  <c r="C22" i="4"/>
  <c r="C24" i="4" s="1"/>
  <c r="C26" i="4" s="1"/>
  <c r="D18" i="1"/>
  <c r="D21" i="1" l="1"/>
  <c r="D22" i="1" s="1"/>
  <c r="D23" i="1" s="1"/>
  <c r="D24" i="1"/>
  <c r="E36" i="1" s="1"/>
  <c r="E37" i="1" s="1"/>
  <c r="E38" i="1" s="1"/>
  <c r="E39" i="1" s="1"/>
  <c r="C19" i="1"/>
  <c r="C24" i="1" s="1"/>
  <c r="C27" i="4"/>
  <c r="C28" i="4" s="1"/>
  <c r="C21" i="1" l="1"/>
  <c r="C22" i="1" s="1"/>
  <c r="C23" i="1" s="1"/>
  <c r="C25" i="1" l="1"/>
  <c r="C26" i="1" s="1"/>
  <c r="C31" i="1" s="1"/>
  <c r="C32" i="1" s="1"/>
</calcChain>
</file>

<file path=xl/sharedStrings.xml><?xml version="1.0" encoding="utf-8"?>
<sst xmlns="http://schemas.openxmlformats.org/spreadsheetml/2006/main" count="95" uniqueCount="62">
  <si>
    <t>charge description</t>
    <phoneticPr fontId="2" type="noConversion"/>
  </si>
  <si>
    <t>LA</t>
    <phoneticPr fontId="2" type="noConversion"/>
  </si>
  <si>
    <t>O/Freight</t>
    <phoneticPr fontId="2" type="noConversion"/>
  </si>
  <si>
    <t>THC</t>
    <phoneticPr fontId="2" type="noConversion"/>
  </si>
  <si>
    <t>WHARFAGE</t>
    <phoneticPr fontId="2" type="noConversion"/>
  </si>
  <si>
    <t>DOCUMENT FEE</t>
    <phoneticPr fontId="2" type="noConversion"/>
  </si>
  <si>
    <t>SEAL CHG</t>
    <phoneticPr fontId="2" type="noConversion"/>
  </si>
  <si>
    <t>AMS, AFS</t>
    <phoneticPr fontId="2" type="noConversion"/>
  </si>
  <si>
    <t>H/C</t>
    <phoneticPr fontId="2" type="noConversion"/>
  </si>
  <si>
    <t>통관수수료</t>
    <phoneticPr fontId="2" type="noConversion"/>
  </si>
  <si>
    <t>국내운송료</t>
    <phoneticPr fontId="2" type="noConversion"/>
  </si>
  <si>
    <t>보험료</t>
    <phoneticPr fontId="2" type="noConversion"/>
  </si>
  <si>
    <t>제조/구매원가</t>
    <phoneticPr fontId="2" type="noConversion"/>
  </si>
  <si>
    <t>수량</t>
    <phoneticPr fontId="2" type="noConversion"/>
  </si>
  <si>
    <t>CFR</t>
    <phoneticPr fontId="2" type="noConversion"/>
  </si>
  <si>
    <t>CIF</t>
    <phoneticPr fontId="2" type="noConversion"/>
  </si>
  <si>
    <t>FOB</t>
    <phoneticPr fontId="2" type="noConversion"/>
  </si>
  <si>
    <t>외화환산금액</t>
    <phoneticPr fontId="2" type="noConversion"/>
  </si>
  <si>
    <t>환율</t>
    <phoneticPr fontId="2" type="noConversion"/>
  </si>
  <si>
    <t>USD</t>
    <phoneticPr fontId="2" type="noConversion"/>
  </si>
  <si>
    <t>EXW</t>
    <phoneticPr fontId="2" type="noConversion"/>
  </si>
  <si>
    <t>원화환산총액</t>
    <phoneticPr fontId="2" type="noConversion"/>
  </si>
  <si>
    <t>소계</t>
    <phoneticPr fontId="2" type="noConversion"/>
  </si>
  <si>
    <t>외화환산단가</t>
    <phoneticPr fontId="2" type="noConversion"/>
  </si>
  <si>
    <t>CBM</t>
    <phoneticPr fontId="2" type="noConversion"/>
  </si>
  <si>
    <t>CFS</t>
    <phoneticPr fontId="2" type="noConversion"/>
  </si>
  <si>
    <t>가로</t>
    <phoneticPr fontId="2" type="noConversion"/>
  </si>
  <si>
    <t>세로</t>
    <phoneticPr fontId="2" type="noConversion"/>
  </si>
  <si>
    <t>높이</t>
    <phoneticPr fontId="2" type="noConversion"/>
  </si>
  <si>
    <t>소계</t>
    <phoneticPr fontId="2" type="noConversion"/>
  </si>
  <si>
    <t>박스수량</t>
    <phoneticPr fontId="2" type="noConversion"/>
  </si>
  <si>
    <t>20FT</t>
    <phoneticPr fontId="2" type="noConversion"/>
  </si>
  <si>
    <t>40FT</t>
    <phoneticPr fontId="2" type="noConversion"/>
  </si>
  <si>
    <t>관세</t>
    <phoneticPr fontId="2" type="noConversion"/>
  </si>
  <si>
    <t>부가세</t>
    <phoneticPr fontId="2" type="noConversion"/>
  </si>
  <si>
    <t>수입통관재비용</t>
    <phoneticPr fontId="2" type="noConversion"/>
  </si>
  <si>
    <t>내륙운송료</t>
    <phoneticPr fontId="2" type="noConversion"/>
  </si>
  <si>
    <t>국내</t>
    <phoneticPr fontId="2" type="noConversion"/>
  </si>
  <si>
    <t>국외</t>
    <phoneticPr fontId="2" type="noConversion"/>
  </si>
  <si>
    <t>수입업자마진(30%)</t>
    <phoneticPr fontId="2" type="noConversion"/>
  </si>
  <si>
    <t>소매마진(30%)</t>
    <phoneticPr fontId="2" type="noConversion"/>
  </si>
  <si>
    <t>수입원가</t>
    <phoneticPr fontId="2" type="noConversion"/>
  </si>
  <si>
    <t>수출가</t>
    <phoneticPr fontId="2" type="noConversion"/>
  </si>
  <si>
    <t>도매마진(15%)</t>
    <phoneticPr fontId="2" type="noConversion"/>
  </si>
  <si>
    <t>&lt;- 포워딩업체 견적 입력할 것</t>
    <phoneticPr fontId="2" type="noConversion"/>
  </si>
  <si>
    <t>&lt;- 관세 확인할 것</t>
    <phoneticPr fontId="2" type="noConversion"/>
  </si>
  <si>
    <t>&lt;- 부가가치세 확인 할 것</t>
    <phoneticPr fontId="2" type="noConversion"/>
  </si>
  <si>
    <t>&lt;- 경쟁업체 단가</t>
    <phoneticPr fontId="2" type="noConversion"/>
  </si>
  <si>
    <t>&lt;- 수입업자 마진</t>
    <phoneticPr fontId="2" type="noConversion"/>
  </si>
  <si>
    <t>Jakarta</t>
    <phoneticPr fontId="2" type="noConversion"/>
  </si>
  <si>
    <t>Hongkong</t>
    <phoneticPr fontId="2" type="noConversion"/>
  </si>
  <si>
    <t>Sidney</t>
    <phoneticPr fontId="2" type="noConversion"/>
  </si>
  <si>
    <t>한국 판매원가 30프로</t>
    <phoneticPr fontId="2" type="noConversion"/>
  </si>
  <si>
    <t>China</t>
    <phoneticPr fontId="2" type="noConversion"/>
  </si>
  <si>
    <t>2398위완화</t>
    <phoneticPr fontId="2" type="noConversion"/>
  </si>
  <si>
    <t>&lt;- 원</t>
    <phoneticPr fontId="2" type="noConversion"/>
  </si>
  <si>
    <t>위안</t>
    <phoneticPr fontId="2" type="noConversion"/>
  </si>
  <si>
    <t>수입업자마진</t>
    <phoneticPr fontId="2" type="noConversion"/>
  </si>
  <si>
    <t>도매마진</t>
    <phoneticPr fontId="2" type="noConversion"/>
  </si>
  <si>
    <t>소매마진</t>
    <phoneticPr fontId="2" type="noConversion"/>
  </si>
  <si>
    <t>40ft 기준</t>
    <phoneticPr fontId="2" type="noConversion"/>
  </si>
  <si>
    <t>마진 동일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</si>
</sst>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0_ "/>
    <numFmt numFmtId="177" formatCode="0.0_ "/>
    <numFmt numFmtId="178" formatCode="0_ "/>
    <numFmt numFmtId="179" formatCode="0.00_);[Red]\(0.00\)"/>
    <numFmt numFmtId="180" formatCode="_-* #,##0.0_-;\-* #,##0.0_-;_-* &quot;-&quot;_-;_-@_-"/>
    <numFmt numFmtId="181" formatCode="_-* #,##0.00_-;\-* #,##0.00_-;_-* &quot;-&quot;_-;_-@_-"/>
    <numFmt numFmtId="182" formatCode="_-* #,##0.0000_-;\-* #,##0.0000_-;_-* &quot;-&quot;_-;_-@_-"/>
    <numFmt numFmtId="183" formatCode="0.0000"/>
    <numFmt numFmtId="184" formatCode="_-[$$-409]* #,##0.00_ ;_-[$$-409]* \-#,##0.00\ ;_-[$$-409]* &quot;-&quot;??_ ;_-@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41" fontId="0" fillId="0" borderId="1" xfId="1" applyFont="1" applyBorder="1">
      <alignment vertical="center"/>
    </xf>
    <xf numFmtId="180" fontId="0" fillId="0" borderId="1" xfId="1" applyNumberFormat="1" applyFont="1" applyBorder="1">
      <alignment vertical="center"/>
    </xf>
    <xf numFmtId="178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9" fontId="0" fillId="0" borderId="1" xfId="0" applyNumberFormat="1" applyBorder="1">
      <alignment vertical="center"/>
    </xf>
    <xf numFmtId="181" fontId="0" fillId="0" borderId="1" xfId="1" applyNumberFormat="1" applyFont="1" applyBorder="1">
      <alignment vertical="center"/>
    </xf>
    <xf numFmtId="41" fontId="0" fillId="0" borderId="1" xfId="0" applyNumberFormat="1" applyBorder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82" fontId="0" fillId="0" borderId="1" xfId="1" applyNumberFormat="1" applyFont="1" applyBorder="1">
      <alignment vertical="center"/>
    </xf>
    <xf numFmtId="181" fontId="0" fillId="0" borderId="1" xfId="0" applyNumberFormat="1" applyBorder="1">
      <alignment vertical="center"/>
    </xf>
    <xf numFmtId="182" fontId="0" fillId="2" borderId="1" xfId="1" applyNumberFormat="1" applyFont="1" applyFill="1" applyBorder="1">
      <alignment vertical="center"/>
    </xf>
    <xf numFmtId="0" fontId="0" fillId="0" borderId="4" xfId="0" applyFill="1" applyBorder="1">
      <alignment vertical="center"/>
    </xf>
    <xf numFmtId="0" fontId="0" fillId="2" borderId="4" xfId="0" applyFill="1" applyBorder="1">
      <alignment vertical="center"/>
    </xf>
    <xf numFmtId="183" fontId="0" fillId="0" borderId="0" xfId="0" applyNumberFormat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>
      <alignment vertical="center"/>
    </xf>
    <xf numFmtId="9" fontId="0" fillId="0" borderId="0" xfId="0" applyNumberFormat="1">
      <alignment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18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B25" workbookViewId="0">
      <selection activeCell="L36" sqref="L36"/>
    </sheetView>
  </sheetViews>
  <sheetFormatPr defaultRowHeight="17" x14ac:dyDescent="0.45"/>
  <cols>
    <col min="1" max="1" width="14.58203125" customWidth="1"/>
    <col min="2" max="2" width="17.58203125" customWidth="1"/>
    <col min="3" max="3" width="17.25" bestFit="1" customWidth="1"/>
    <col min="4" max="4" width="11.83203125" bestFit="1" customWidth="1"/>
    <col min="5" max="5" width="11.83203125" customWidth="1"/>
    <col min="6" max="11" width="11.83203125" bestFit="1" customWidth="1"/>
  </cols>
  <sheetData>
    <row r="1" spans="1:13" x14ac:dyDescent="0.45">
      <c r="I1" t="s">
        <v>18</v>
      </c>
      <c r="J1" t="s">
        <v>19</v>
      </c>
      <c r="K1">
        <v>1350</v>
      </c>
      <c r="L1" t="s">
        <v>56</v>
      </c>
      <c r="M1">
        <v>200</v>
      </c>
    </row>
    <row r="2" spans="1:13" x14ac:dyDescent="0.45">
      <c r="B2" s="31" t="s">
        <v>0</v>
      </c>
      <c r="C2" s="31" t="s">
        <v>53</v>
      </c>
      <c r="D2" s="31"/>
      <c r="E2" s="31" t="s">
        <v>49</v>
      </c>
      <c r="F2" s="31"/>
      <c r="G2" s="31" t="s">
        <v>51</v>
      </c>
      <c r="H2" s="31"/>
      <c r="I2" s="31" t="s">
        <v>1</v>
      </c>
      <c r="J2" s="31"/>
    </row>
    <row r="3" spans="1:13" x14ac:dyDescent="0.45">
      <c r="B3" s="31"/>
      <c r="C3" s="13" t="s">
        <v>31</v>
      </c>
      <c r="D3" s="13" t="s">
        <v>32</v>
      </c>
      <c r="E3" s="13" t="s">
        <v>31</v>
      </c>
      <c r="F3" s="13" t="s">
        <v>32</v>
      </c>
      <c r="G3" s="13" t="s">
        <v>31</v>
      </c>
      <c r="H3" s="13" t="s">
        <v>32</v>
      </c>
      <c r="I3" s="13" t="s">
        <v>31</v>
      </c>
      <c r="J3" s="13" t="s">
        <v>32</v>
      </c>
    </row>
    <row r="4" spans="1:13" x14ac:dyDescent="0.45">
      <c r="A4" s="30" t="s">
        <v>37</v>
      </c>
      <c r="B4" s="1" t="s">
        <v>12</v>
      </c>
      <c r="C4" s="2">
        <v>120000</v>
      </c>
      <c r="D4" s="2">
        <v>120000</v>
      </c>
      <c r="E4" s="2"/>
      <c r="F4" s="2"/>
      <c r="G4" s="2"/>
      <c r="H4" s="2"/>
      <c r="I4" s="2"/>
      <c r="J4" s="2"/>
    </row>
    <row r="5" spans="1:13" x14ac:dyDescent="0.45">
      <c r="A5" s="30"/>
      <c r="B5" s="1" t="s">
        <v>13</v>
      </c>
      <c r="C5" s="2">
        <v>120</v>
      </c>
      <c r="D5" s="2">
        <v>2500</v>
      </c>
      <c r="E5" s="2"/>
      <c r="F5" s="2"/>
      <c r="G5" s="2"/>
      <c r="H5" s="2"/>
      <c r="I5" s="2"/>
      <c r="J5" s="2"/>
    </row>
    <row r="6" spans="1:13" x14ac:dyDescent="0.45">
      <c r="A6" s="30"/>
      <c r="B6" s="1" t="s">
        <v>21</v>
      </c>
      <c r="C6" s="3">
        <f>C4*C5</f>
        <v>14400000</v>
      </c>
      <c r="D6" s="3">
        <f t="shared" ref="D6" si="0">D4*D5</f>
        <v>300000000</v>
      </c>
      <c r="E6" s="3">
        <f>E4*E5</f>
        <v>0</v>
      </c>
      <c r="F6" s="3">
        <f t="shared" ref="F6:H6" si="1">F4*F5</f>
        <v>0</v>
      </c>
      <c r="G6" s="3">
        <f>G4*G5</f>
        <v>0</v>
      </c>
      <c r="H6" s="3">
        <f t="shared" si="1"/>
        <v>0</v>
      </c>
      <c r="I6" s="3">
        <f>I4*I5</f>
        <v>0</v>
      </c>
      <c r="J6" s="3">
        <f t="shared" ref="J6" si="2">J4*J5</f>
        <v>0</v>
      </c>
    </row>
    <row r="7" spans="1:13" x14ac:dyDescent="0.45">
      <c r="A7" s="30"/>
      <c r="B7" s="1" t="s">
        <v>23</v>
      </c>
      <c r="C7" s="4">
        <f t="shared" ref="C7:J7" si="3">C4/$K$1</f>
        <v>88.888888888888886</v>
      </c>
      <c r="D7" s="4">
        <f t="shared" si="3"/>
        <v>88.888888888888886</v>
      </c>
      <c r="E7" s="4">
        <f t="shared" si="3"/>
        <v>0</v>
      </c>
      <c r="F7" s="4">
        <f t="shared" si="3"/>
        <v>0</v>
      </c>
      <c r="G7" s="4">
        <f t="shared" si="3"/>
        <v>0</v>
      </c>
      <c r="H7" s="4">
        <f t="shared" si="3"/>
        <v>0</v>
      </c>
      <c r="I7" s="4">
        <f t="shared" si="3"/>
        <v>0</v>
      </c>
      <c r="J7" s="4">
        <f t="shared" si="3"/>
        <v>0</v>
      </c>
    </row>
    <row r="8" spans="1:13" x14ac:dyDescent="0.45">
      <c r="A8" s="30"/>
      <c r="B8" s="1" t="s">
        <v>17</v>
      </c>
      <c r="C8" s="3">
        <f t="shared" ref="C8:J8" si="4">C6/$K$1</f>
        <v>10666.666666666666</v>
      </c>
      <c r="D8" s="3">
        <f t="shared" si="4"/>
        <v>222222.22222222222</v>
      </c>
      <c r="E8" s="3">
        <f t="shared" si="4"/>
        <v>0</v>
      </c>
      <c r="F8" s="3">
        <f t="shared" si="4"/>
        <v>0</v>
      </c>
      <c r="G8" s="3">
        <f t="shared" si="4"/>
        <v>0</v>
      </c>
      <c r="H8" s="3">
        <f t="shared" si="4"/>
        <v>0</v>
      </c>
      <c r="I8" s="3">
        <f t="shared" si="4"/>
        <v>0</v>
      </c>
      <c r="J8" s="3">
        <f t="shared" si="4"/>
        <v>0</v>
      </c>
    </row>
    <row r="9" spans="1:13" x14ac:dyDescent="0.45">
      <c r="A9" s="30"/>
      <c r="B9" s="23" t="s">
        <v>3</v>
      </c>
      <c r="C9" s="5">
        <f>130000/$K1</f>
        <v>96.296296296296291</v>
      </c>
      <c r="D9" s="5">
        <f>180000/$K$1</f>
        <v>133.33333333333334</v>
      </c>
      <c r="E9" s="5">
        <f>130000/$K1</f>
        <v>96.296296296296291</v>
      </c>
      <c r="F9" s="5">
        <f>180000/$K$1</f>
        <v>133.33333333333334</v>
      </c>
      <c r="G9" s="5">
        <f t="shared" ref="G9" si="5">130000/$K1</f>
        <v>96.296296296296291</v>
      </c>
      <c r="H9" s="5">
        <f t="shared" ref="H9" si="6">180000/$K$1</f>
        <v>133.33333333333334</v>
      </c>
      <c r="I9" s="5">
        <f t="shared" ref="I9" si="7">130000/$K1</f>
        <v>96.296296296296291</v>
      </c>
      <c r="J9" s="5">
        <f t="shared" ref="J9" si="8">180000/$K$1</f>
        <v>133.33333333333334</v>
      </c>
    </row>
    <row r="10" spans="1:13" x14ac:dyDescent="0.45">
      <c r="A10" s="30"/>
      <c r="B10" s="23" t="s">
        <v>4</v>
      </c>
      <c r="C10" s="6">
        <f>4500/$K$1</f>
        <v>3.3333333333333335</v>
      </c>
      <c r="D10" s="6">
        <f>9000/$K$1</f>
        <v>6.666666666666667</v>
      </c>
      <c r="E10" s="6">
        <f>4500/$K$1</f>
        <v>3.3333333333333335</v>
      </c>
      <c r="F10" s="6">
        <f>9000/$K$1</f>
        <v>6.666666666666667</v>
      </c>
      <c r="G10" s="6">
        <f t="shared" ref="G10" si="9">4500/$K$1</f>
        <v>3.3333333333333335</v>
      </c>
      <c r="H10" s="6">
        <f t="shared" ref="H10" si="10">9000/$K$1</f>
        <v>6.666666666666667</v>
      </c>
      <c r="I10" s="6">
        <f t="shared" ref="I10" si="11">4500/$K$1</f>
        <v>3.3333333333333335</v>
      </c>
      <c r="J10" s="6">
        <f t="shared" ref="J10" si="12">9000/$K$1</f>
        <v>6.666666666666667</v>
      </c>
    </row>
    <row r="11" spans="1:13" x14ac:dyDescent="0.45">
      <c r="A11" s="30"/>
      <c r="B11" s="23" t="s">
        <v>5</v>
      </c>
      <c r="C11" s="6">
        <f>40000*1.1/$K$1</f>
        <v>32.592592592592595</v>
      </c>
      <c r="D11" s="6">
        <f>40000*1.1/$K$1</f>
        <v>32.592592592592595</v>
      </c>
      <c r="E11" s="6">
        <f>40000*1.1/$K$1</f>
        <v>32.592592592592595</v>
      </c>
      <c r="F11" s="6">
        <f>40000*1.1/$K$1</f>
        <v>32.592592592592595</v>
      </c>
      <c r="G11" s="6">
        <f t="shared" ref="G11:J11" si="13">40000*1.1/$K$1</f>
        <v>32.592592592592595</v>
      </c>
      <c r="H11" s="6">
        <f t="shared" si="13"/>
        <v>32.592592592592595</v>
      </c>
      <c r="I11" s="6">
        <f t="shared" si="13"/>
        <v>32.592592592592595</v>
      </c>
      <c r="J11" s="6">
        <f t="shared" si="13"/>
        <v>32.592592592592595</v>
      </c>
    </row>
    <row r="12" spans="1:13" x14ac:dyDescent="0.45">
      <c r="A12" s="30"/>
      <c r="B12" s="23" t="s">
        <v>6</v>
      </c>
      <c r="C12" s="6">
        <f>8000/$K$1</f>
        <v>5.9259259259259256</v>
      </c>
      <c r="D12" s="6">
        <f>8000/$K$1</f>
        <v>5.9259259259259256</v>
      </c>
      <c r="E12" s="6">
        <f>8000/$K$1</f>
        <v>5.9259259259259256</v>
      </c>
      <c r="F12" s="6">
        <f>8000/$K$1</f>
        <v>5.9259259259259256</v>
      </c>
      <c r="G12" s="6">
        <f t="shared" ref="G12:J12" si="14">8000/$K$1</f>
        <v>5.9259259259259256</v>
      </c>
      <c r="H12" s="6">
        <f t="shared" si="14"/>
        <v>5.9259259259259256</v>
      </c>
      <c r="I12" s="6">
        <f t="shared" si="14"/>
        <v>5.9259259259259256</v>
      </c>
      <c r="J12" s="6">
        <f t="shared" si="14"/>
        <v>5.9259259259259256</v>
      </c>
    </row>
    <row r="13" spans="1:13" x14ac:dyDescent="0.45">
      <c r="A13" s="30"/>
      <c r="B13" s="23" t="s">
        <v>8</v>
      </c>
      <c r="C13" s="6">
        <f>33000/$K$1</f>
        <v>24.444444444444443</v>
      </c>
      <c r="D13" s="6">
        <f>33000/$K$1</f>
        <v>24.444444444444443</v>
      </c>
      <c r="E13" s="6">
        <f>33000/$K$1</f>
        <v>24.444444444444443</v>
      </c>
      <c r="F13" s="6">
        <f>33000/$K$1</f>
        <v>24.444444444444443</v>
      </c>
      <c r="G13" s="6">
        <f t="shared" ref="G13:J13" si="15">33000/$K$1</f>
        <v>24.444444444444443</v>
      </c>
      <c r="H13" s="6">
        <f t="shared" si="15"/>
        <v>24.444444444444443</v>
      </c>
      <c r="I13" s="6">
        <f t="shared" si="15"/>
        <v>24.444444444444443</v>
      </c>
      <c r="J13" s="6">
        <f t="shared" si="15"/>
        <v>24.444444444444443</v>
      </c>
    </row>
    <row r="14" spans="1:13" x14ac:dyDescent="0.45">
      <c r="A14" s="30"/>
      <c r="B14" s="23" t="s">
        <v>9</v>
      </c>
      <c r="C14" s="6">
        <f>30000*1.1/$K$1</f>
        <v>24.444444444444443</v>
      </c>
      <c r="D14" s="6">
        <f>50000*1.1/$K$1</f>
        <v>40.740740740740748</v>
      </c>
      <c r="E14" s="6">
        <f>30000*1.1/$K$1</f>
        <v>24.444444444444443</v>
      </c>
      <c r="F14" s="6">
        <f>50000*1.1/$K$1</f>
        <v>40.740740740740748</v>
      </c>
      <c r="G14" s="6">
        <f t="shared" ref="G14" si="16">30000*1.1/$K$1</f>
        <v>24.444444444444443</v>
      </c>
      <c r="H14" s="6">
        <f t="shared" ref="H14" si="17">50000*1.1/$K$1</f>
        <v>40.740740740740748</v>
      </c>
      <c r="I14" s="6">
        <f t="shared" ref="I14" si="18">30000*1.1/$K$1</f>
        <v>24.444444444444443</v>
      </c>
      <c r="J14" s="6">
        <f t="shared" ref="J14" si="19">50000*1.1/$K$1</f>
        <v>40.740740740740748</v>
      </c>
    </row>
    <row r="15" spans="1:13" x14ac:dyDescent="0.45">
      <c r="A15" s="30"/>
      <c r="B15" s="24" t="s">
        <v>10</v>
      </c>
      <c r="C15" s="6">
        <f>400000*1.1/$K$1</f>
        <v>325.92592592592598</v>
      </c>
      <c r="D15" s="6">
        <f>380000*1.1/$K$1</f>
        <v>309.62962962962968</v>
      </c>
      <c r="E15" s="6">
        <f>400000*1.1/$K$1</f>
        <v>325.92592592592598</v>
      </c>
      <c r="F15" s="6">
        <f>380000*1.1/$K$1</f>
        <v>309.62962962962968</v>
      </c>
      <c r="G15" s="6">
        <f t="shared" ref="G15" si="20">400000*1.1/$K$1</f>
        <v>325.92592592592598</v>
      </c>
      <c r="H15" s="6">
        <f t="shared" ref="H15" si="21">380000*1.1/$K$1</f>
        <v>309.62962962962968</v>
      </c>
      <c r="I15" s="6">
        <f t="shared" ref="I15" si="22">400000*1.1/$K$1</f>
        <v>325.92592592592598</v>
      </c>
      <c r="J15" s="6">
        <f t="shared" ref="J15" si="23">380000*1.1/$K$1</f>
        <v>309.62962962962968</v>
      </c>
    </row>
    <row r="16" spans="1:13" x14ac:dyDescent="0.45">
      <c r="A16" s="30"/>
      <c r="B16" s="23" t="s">
        <v>7</v>
      </c>
      <c r="C16" s="1">
        <v>30</v>
      </c>
      <c r="D16" s="1">
        <v>30</v>
      </c>
      <c r="E16" s="1">
        <v>30</v>
      </c>
      <c r="F16" s="1">
        <v>30</v>
      </c>
      <c r="G16" s="1">
        <v>30</v>
      </c>
      <c r="H16" s="1">
        <v>30</v>
      </c>
      <c r="I16" s="1">
        <v>30</v>
      </c>
      <c r="J16" s="1">
        <v>30</v>
      </c>
    </row>
    <row r="17" spans="1:11" x14ac:dyDescent="0.45">
      <c r="A17" s="30"/>
      <c r="B17" s="1" t="s">
        <v>22</v>
      </c>
      <c r="C17" s="7">
        <f>SUM(C9:C15)</f>
        <v>512.96296296296305</v>
      </c>
      <c r="D17" s="7">
        <f t="shared" ref="D17:G17" si="24">SUM(D9:D15)</f>
        <v>553.33333333333348</v>
      </c>
      <c r="E17" s="7">
        <f>SUM(E9:E15)</f>
        <v>512.96296296296305</v>
      </c>
      <c r="F17" s="7">
        <f t="shared" si="24"/>
        <v>553.33333333333348</v>
      </c>
      <c r="G17" s="7">
        <f t="shared" si="24"/>
        <v>512.96296296296305</v>
      </c>
      <c r="H17" s="7">
        <f t="shared" ref="H17:J17" si="25">SUM(H9:H15)</f>
        <v>553.33333333333348</v>
      </c>
      <c r="I17" s="7">
        <f t="shared" si="25"/>
        <v>512.96296296296305</v>
      </c>
      <c r="J17" s="7">
        <f t="shared" si="25"/>
        <v>553.33333333333348</v>
      </c>
    </row>
    <row r="18" spans="1:11" x14ac:dyDescent="0.45">
      <c r="A18" s="30"/>
      <c r="B18" s="8" t="s">
        <v>20</v>
      </c>
      <c r="C18" s="9">
        <f>C8/C5</f>
        <v>88.888888888888886</v>
      </c>
      <c r="D18" s="9">
        <f t="shared" ref="D18:E18" si="26">D8/D5</f>
        <v>88.888888888888886</v>
      </c>
      <c r="E18" s="9" t="e">
        <f t="shared" si="26"/>
        <v>#DIV/0!</v>
      </c>
      <c r="F18" s="9" t="e">
        <f t="shared" ref="F18:J18" si="27">F8/F5</f>
        <v>#DIV/0!</v>
      </c>
      <c r="G18" s="9" t="e">
        <f t="shared" si="27"/>
        <v>#DIV/0!</v>
      </c>
      <c r="H18" s="9" t="e">
        <f t="shared" si="27"/>
        <v>#DIV/0!</v>
      </c>
      <c r="I18" s="9" t="e">
        <f t="shared" si="27"/>
        <v>#DIV/0!</v>
      </c>
      <c r="J18" s="9" t="e">
        <f t="shared" si="27"/>
        <v>#DIV/0!</v>
      </c>
    </row>
    <row r="19" spans="1:11" x14ac:dyDescent="0.45">
      <c r="A19" s="30" t="s">
        <v>38</v>
      </c>
      <c r="B19" s="8" t="s">
        <v>16</v>
      </c>
      <c r="C19" s="9">
        <f>(C8+C17)/C5</f>
        <v>93.163580246913583</v>
      </c>
      <c r="D19" s="9">
        <f t="shared" ref="D19:E19" si="28">(D8+D17)/D5</f>
        <v>89.11022222222222</v>
      </c>
      <c r="E19" s="9" t="e">
        <f t="shared" si="28"/>
        <v>#DIV/0!</v>
      </c>
      <c r="F19" s="9" t="e">
        <f t="shared" ref="F19:J19" si="29">(F8+F17)/F5</f>
        <v>#DIV/0!</v>
      </c>
      <c r="G19" s="9" t="e">
        <f t="shared" si="29"/>
        <v>#DIV/0!</v>
      </c>
      <c r="H19" s="9" t="e">
        <f t="shared" si="29"/>
        <v>#DIV/0!</v>
      </c>
      <c r="I19" s="9" t="e">
        <f t="shared" si="29"/>
        <v>#DIV/0!</v>
      </c>
      <c r="J19" s="9" t="e">
        <f t="shared" si="29"/>
        <v>#DIV/0!</v>
      </c>
    </row>
    <row r="20" spans="1:11" x14ac:dyDescent="0.45">
      <c r="A20" s="30"/>
      <c r="B20" s="1" t="s">
        <v>2</v>
      </c>
      <c r="C20" s="1">
        <v>200</v>
      </c>
      <c r="D20" s="1">
        <v>350</v>
      </c>
      <c r="E20" s="1">
        <v>2000</v>
      </c>
      <c r="F20" s="1">
        <v>3500</v>
      </c>
      <c r="G20" s="1">
        <v>10000</v>
      </c>
      <c r="H20" s="1">
        <v>15000</v>
      </c>
      <c r="I20" s="1">
        <v>10000</v>
      </c>
      <c r="J20" s="1">
        <v>15000</v>
      </c>
    </row>
    <row r="21" spans="1:11" x14ac:dyDescent="0.45">
      <c r="A21" s="30"/>
      <c r="B21" s="8" t="s">
        <v>14</v>
      </c>
      <c r="C21" s="10">
        <f>C19+((C20+C16)/C5)</f>
        <v>95.080246913580254</v>
      </c>
      <c r="D21" s="10">
        <f t="shared" ref="D21:E21" si="30">D19+((D20+D16)/D5)</f>
        <v>89.262222222222221</v>
      </c>
      <c r="E21" s="10" t="e">
        <f t="shared" si="30"/>
        <v>#DIV/0!</v>
      </c>
      <c r="F21" s="10" t="e">
        <f t="shared" ref="F21:J21" si="31">F19+((F20+F16)/F5)</f>
        <v>#DIV/0!</v>
      </c>
      <c r="G21" s="10" t="e">
        <f t="shared" si="31"/>
        <v>#DIV/0!</v>
      </c>
      <c r="H21" s="10" t="e">
        <f t="shared" si="31"/>
        <v>#DIV/0!</v>
      </c>
      <c r="I21" s="10" t="e">
        <f t="shared" si="31"/>
        <v>#DIV/0!</v>
      </c>
      <c r="J21" s="10" t="e">
        <f t="shared" si="31"/>
        <v>#DIV/0!</v>
      </c>
    </row>
    <row r="22" spans="1:11" x14ac:dyDescent="0.45">
      <c r="A22" s="30"/>
      <c r="B22" s="1" t="s">
        <v>11</v>
      </c>
      <c r="C22" s="7">
        <f>C21*110%*0.0004*C5</f>
        <v>5.0202370370370382</v>
      </c>
      <c r="D22" s="7">
        <f t="shared" ref="D22" si="32">D21*110%*0.004*D5</f>
        <v>981.88444444444451</v>
      </c>
      <c r="E22" s="7" t="e">
        <f t="shared" ref="E22" si="33">E21*110%*0.0004*E5</f>
        <v>#DIV/0!</v>
      </c>
      <c r="F22" s="7" t="e">
        <f t="shared" ref="F22" si="34">F21*110%*0.004*F5</f>
        <v>#DIV/0!</v>
      </c>
      <c r="G22" s="7" t="e">
        <f t="shared" ref="G22" si="35">G21*110%*0.0004*G5</f>
        <v>#DIV/0!</v>
      </c>
      <c r="H22" s="7" t="e">
        <f t="shared" ref="H22" si="36">H21*110%*0.004*H5</f>
        <v>#DIV/0!</v>
      </c>
      <c r="I22" s="7" t="e">
        <f t="shared" ref="I22" si="37">I21*110%*0.0004*I5</f>
        <v>#DIV/0!</v>
      </c>
      <c r="J22" s="7" t="e">
        <f t="shared" ref="J22" si="38">J21*110%*0.004*J5</f>
        <v>#DIV/0!</v>
      </c>
    </row>
    <row r="23" spans="1:11" x14ac:dyDescent="0.45">
      <c r="A23" s="30"/>
      <c r="B23" s="8" t="s">
        <v>15</v>
      </c>
      <c r="C23" s="7">
        <f>C21+(C22/C5)</f>
        <v>95.122082222222232</v>
      </c>
      <c r="D23" s="7">
        <f t="shared" ref="D23:E23" si="39">D21+(D22/D5)</f>
        <v>89.654976000000005</v>
      </c>
      <c r="E23" s="7" t="e">
        <f t="shared" si="39"/>
        <v>#DIV/0!</v>
      </c>
      <c r="F23" s="7" t="e">
        <f t="shared" ref="F23:J23" si="40">F21+(F22/F5)</f>
        <v>#DIV/0!</v>
      </c>
      <c r="G23" s="7" t="e">
        <f t="shared" si="40"/>
        <v>#DIV/0!</v>
      </c>
      <c r="H23" s="7" t="e">
        <f t="shared" si="40"/>
        <v>#DIV/0!</v>
      </c>
      <c r="I23" s="7" t="e">
        <f t="shared" si="40"/>
        <v>#DIV/0!</v>
      </c>
      <c r="J23" s="7" t="e">
        <f t="shared" si="40"/>
        <v>#DIV/0!</v>
      </c>
    </row>
    <row r="24" spans="1:11" x14ac:dyDescent="0.45">
      <c r="A24" s="30"/>
      <c r="B24" s="18" t="s">
        <v>42</v>
      </c>
      <c r="C24" s="21">
        <f>C19*1.5</f>
        <v>139.74537037037038</v>
      </c>
      <c r="D24" s="21">
        <f>D19*1.5</f>
        <v>133.66533333333334</v>
      </c>
      <c r="E24" s="21" t="e">
        <f t="shared" ref="E24" si="41">E23*1.5</f>
        <v>#DIV/0!</v>
      </c>
      <c r="F24" s="21" t="e">
        <f t="shared" ref="F24" si="42">F18*1.2</f>
        <v>#DIV/0!</v>
      </c>
      <c r="G24" s="21" t="e">
        <f t="shared" ref="G24" si="43">G23*1.5</f>
        <v>#DIV/0!</v>
      </c>
      <c r="H24" s="21" t="e">
        <f t="shared" ref="H24" si="44">H18*1.2</f>
        <v>#DIV/0!</v>
      </c>
      <c r="I24" s="21" t="e">
        <f t="shared" ref="I24" si="45">I23*1.5</f>
        <v>#DIV/0!</v>
      </c>
      <c r="J24" s="21" t="e">
        <f t="shared" ref="J24" si="46">J18*1.2</f>
        <v>#DIV/0!</v>
      </c>
      <c r="K24" s="21"/>
    </row>
    <row r="25" spans="1:11" x14ac:dyDescent="0.45">
      <c r="A25" s="30"/>
      <c r="B25" s="17" t="s">
        <v>33</v>
      </c>
      <c r="C25" s="26">
        <f>C24*D25</f>
        <v>0</v>
      </c>
      <c r="D25" s="22">
        <v>0</v>
      </c>
      <c r="E25" t="s">
        <v>45</v>
      </c>
    </row>
    <row r="26" spans="1:11" x14ac:dyDescent="0.45">
      <c r="A26" s="30"/>
      <c r="B26" s="17" t="s">
        <v>34</v>
      </c>
      <c r="C26" s="19">
        <f>(C24+C25)*D26</f>
        <v>13.974537037037038</v>
      </c>
      <c r="D26" s="22">
        <v>0.1</v>
      </c>
      <c r="E26" t="s">
        <v>46</v>
      </c>
    </row>
    <row r="27" spans="1:11" x14ac:dyDescent="0.45">
      <c r="A27" s="30"/>
      <c r="B27" s="17" t="s">
        <v>35</v>
      </c>
      <c r="C27" s="19">
        <f>D27/C5</f>
        <v>1.6666666666666667</v>
      </c>
      <c r="D27" s="25">
        <v>200</v>
      </c>
      <c r="E27" t="s">
        <v>44</v>
      </c>
    </row>
    <row r="28" spans="1:11" x14ac:dyDescent="0.45">
      <c r="A28" s="30"/>
      <c r="B28" s="17" t="s">
        <v>36</v>
      </c>
      <c r="C28" s="19">
        <f>D28/C5</f>
        <v>4.166666666666667</v>
      </c>
      <c r="D28" s="25">
        <v>500</v>
      </c>
      <c r="E28" t="s">
        <v>44</v>
      </c>
    </row>
    <row r="29" spans="1:11" x14ac:dyDescent="0.45">
      <c r="A29" s="20"/>
      <c r="B29" s="18" t="s">
        <v>41</v>
      </c>
      <c r="C29" s="19">
        <f>SUM(C24:C28)</f>
        <v>159.55324074074073</v>
      </c>
    </row>
    <row r="30" spans="1:11" x14ac:dyDescent="0.45">
      <c r="B30" s="17" t="s">
        <v>39</v>
      </c>
      <c r="C30" s="19">
        <f>C29+(C29*D30)</f>
        <v>207.41921296296294</v>
      </c>
      <c r="D30" s="22">
        <v>0.3</v>
      </c>
      <c r="E30" t="s">
        <v>48</v>
      </c>
    </row>
    <row r="31" spans="1:11" x14ac:dyDescent="0.45">
      <c r="B31" s="17" t="s">
        <v>43</v>
      </c>
      <c r="C31" s="19">
        <f>C30+(C30*D31)</f>
        <v>238.53209490740738</v>
      </c>
      <c r="D31" s="22">
        <v>0.15</v>
      </c>
    </row>
    <row r="32" spans="1:11" x14ac:dyDescent="0.45">
      <c r="B32" s="18" t="s">
        <v>40</v>
      </c>
      <c r="C32" s="19">
        <f>C31+(C31*D32)</f>
        <v>310.09172337962957</v>
      </c>
      <c r="D32" s="22">
        <v>0.3</v>
      </c>
      <c r="E32" t="s">
        <v>54</v>
      </c>
      <c r="F32" t="s">
        <v>47</v>
      </c>
    </row>
    <row r="33" spans="3:6" x14ac:dyDescent="0.45">
      <c r="E33" s="29">
        <v>469480</v>
      </c>
      <c r="F33" t="s">
        <v>55</v>
      </c>
    </row>
    <row r="34" spans="3:6" x14ac:dyDescent="0.45">
      <c r="E34">
        <f>E33/K1</f>
        <v>347.76296296296294</v>
      </c>
    </row>
    <row r="36" spans="3:6" x14ac:dyDescent="0.45">
      <c r="C36" t="s">
        <v>60</v>
      </c>
      <c r="D36" t="s">
        <v>41</v>
      </c>
      <c r="E36" s="26">
        <f>SUM(D24,C26,C27,C28)</f>
        <v>153.47320370370369</v>
      </c>
    </row>
    <row r="37" spans="3:6" x14ac:dyDescent="0.45">
      <c r="C37" t="s">
        <v>61</v>
      </c>
      <c r="D37" t="s">
        <v>57</v>
      </c>
      <c r="E37">
        <f>E36+(E36*D30)</f>
        <v>199.5151648148148</v>
      </c>
    </row>
    <row r="38" spans="3:6" x14ac:dyDescent="0.45">
      <c r="D38" t="s">
        <v>58</v>
      </c>
      <c r="E38">
        <f>E37+(E37*D31)</f>
        <v>229.44243953703702</v>
      </c>
    </row>
    <row r="39" spans="3:6" x14ac:dyDescent="0.45">
      <c r="D39" t="s">
        <v>59</v>
      </c>
      <c r="E39">
        <f>E38+(E38*D32)</f>
        <v>298.27517139814813</v>
      </c>
    </row>
  </sheetData>
  <mergeCells count="7">
    <mergeCell ref="A4:A18"/>
    <mergeCell ref="A19:A28"/>
    <mergeCell ref="I2:J2"/>
    <mergeCell ref="G2:H2"/>
    <mergeCell ref="E2:F2"/>
    <mergeCell ref="C2:D2"/>
    <mergeCell ref="B2:B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0" workbookViewId="0">
      <selection activeCell="B23" sqref="B23"/>
    </sheetView>
  </sheetViews>
  <sheetFormatPr defaultRowHeight="17" x14ac:dyDescent="0.45"/>
  <cols>
    <col min="1" max="1" width="14.58203125" customWidth="1"/>
    <col min="2" max="2" width="17.58203125" customWidth="1"/>
    <col min="3" max="3" width="17.25" bestFit="1" customWidth="1"/>
    <col min="4" max="6" width="11.83203125" bestFit="1" customWidth="1"/>
  </cols>
  <sheetData>
    <row r="1" spans="1:6" x14ac:dyDescent="0.45">
      <c r="D1" t="s">
        <v>18</v>
      </c>
      <c r="E1" t="s">
        <v>19</v>
      </c>
      <c r="F1">
        <v>1350</v>
      </c>
    </row>
    <row r="2" spans="1:6" x14ac:dyDescent="0.45">
      <c r="B2" s="12" t="s">
        <v>0</v>
      </c>
      <c r="C2" s="28" t="s">
        <v>50</v>
      </c>
      <c r="D2" s="28" t="s">
        <v>49</v>
      </c>
      <c r="E2" s="28" t="s">
        <v>51</v>
      </c>
      <c r="F2" s="27" t="s">
        <v>1</v>
      </c>
    </row>
    <row r="3" spans="1:6" x14ac:dyDescent="0.45">
      <c r="A3" t="s">
        <v>52</v>
      </c>
      <c r="B3" s="1" t="s">
        <v>12</v>
      </c>
      <c r="C3" s="2"/>
      <c r="D3" s="2"/>
      <c r="E3" s="2"/>
      <c r="F3" s="2"/>
    </row>
    <row r="4" spans="1:6" x14ac:dyDescent="0.45">
      <c r="B4" s="1" t="s">
        <v>13</v>
      </c>
      <c r="C4" s="2"/>
      <c r="D4" s="2"/>
      <c r="E4" s="2"/>
      <c r="F4" s="2"/>
    </row>
    <row r="5" spans="1:6" x14ac:dyDescent="0.45">
      <c r="B5" s="1" t="s">
        <v>30</v>
      </c>
      <c r="C5" s="2"/>
      <c r="D5" s="2"/>
      <c r="E5" s="2"/>
      <c r="F5" s="2"/>
    </row>
    <row r="6" spans="1:6" x14ac:dyDescent="0.45">
      <c r="B6" s="1" t="s">
        <v>21</v>
      </c>
      <c r="C6" s="3">
        <f>C3*C4</f>
        <v>0</v>
      </c>
      <c r="D6" s="3">
        <f t="shared" ref="D6:F6" si="0">D3*D4</f>
        <v>0</v>
      </c>
      <c r="E6" s="3">
        <f t="shared" si="0"/>
        <v>0</v>
      </c>
      <c r="F6" s="3">
        <f t="shared" si="0"/>
        <v>0</v>
      </c>
    </row>
    <row r="7" spans="1:6" x14ac:dyDescent="0.45">
      <c r="B7" s="1" t="s">
        <v>23</v>
      </c>
      <c r="C7" s="4">
        <f>C3/$F$1</f>
        <v>0</v>
      </c>
      <c r="D7" s="4">
        <f t="shared" ref="D7:F7" si="1">D3/$F$1</f>
        <v>0</v>
      </c>
      <c r="E7" s="4">
        <f t="shared" si="1"/>
        <v>0</v>
      </c>
      <c r="F7" s="4">
        <f t="shared" si="1"/>
        <v>0</v>
      </c>
    </row>
    <row r="8" spans="1:6" x14ac:dyDescent="0.45">
      <c r="B8" s="1" t="s">
        <v>17</v>
      </c>
      <c r="C8" s="3">
        <f>C6/$F$1</f>
        <v>0</v>
      </c>
      <c r="D8" s="3">
        <f t="shared" ref="D8:F8" si="2">D6/$F$1</f>
        <v>0</v>
      </c>
      <c r="E8" s="3">
        <f t="shared" si="2"/>
        <v>0</v>
      </c>
      <c r="F8" s="3">
        <f t="shared" si="2"/>
        <v>0</v>
      </c>
    </row>
    <row r="9" spans="1:6" x14ac:dyDescent="0.45">
      <c r="B9" s="1" t="s">
        <v>26</v>
      </c>
      <c r="C9" s="16"/>
      <c r="D9" s="16"/>
      <c r="E9" s="16"/>
      <c r="F9" s="16"/>
    </row>
    <row r="10" spans="1:6" x14ac:dyDescent="0.45">
      <c r="B10" s="1" t="s">
        <v>27</v>
      </c>
      <c r="C10" s="16"/>
      <c r="D10" s="16"/>
      <c r="E10" s="16"/>
      <c r="F10" s="16"/>
    </row>
    <row r="11" spans="1:6" x14ac:dyDescent="0.45">
      <c r="B11" s="1" t="s">
        <v>28</v>
      </c>
      <c r="C11" s="16"/>
      <c r="D11" s="16"/>
      <c r="E11" s="16"/>
      <c r="F11" s="16"/>
    </row>
    <row r="12" spans="1:6" x14ac:dyDescent="0.45">
      <c r="B12" s="1" t="s">
        <v>29</v>
      </c>
      <c r="C12" s="14">
        <f t="shared" ref="C12" si="3">C9*C10*C11</f>
        <v>0</v>
      </c>
      <c r="D12" s="14">
        <f t="shared" ref="D12:F12" si="4">D9*D10*D11</f>
        <v>0</v>
      </c>
      <c r="E12" s="14">
        <f t="shared" si="4"/>
        <v>0</v>
      </c>
      <c r="F12" s="14">
        <f t="shared" si="4"/>
        <v>0</v>
      </c>
    </row>
    <row r="13" spans="1:6" x14ac:dyDescent="0.45">
      <c r="B13" s="1" t="s">
        <v>24</v>
      </c>
      <c r="C13" s="14">
        <f>C5*C12</f>
        <v>0</v>
      </c>
      <c r="D13" s="14">
        <f t="shared" ref="D13:F13" si="5">D5*D12</f>
        <v>0</v>
      </c>
      <c r="E13" s="14">
        <f t="shared" si="5"/>
        <v>0</v>
      </c>
      <c r="F13" s="14">
        <f t="shared" si="5"/>
        <v>0</v>
      </c>
    </row>
    <row r="14" spans="1:6" x14ac:dyDescent="0.45">
      <c r="B14" s="1" t="s">
        <v>3</v>
      </c>
      <c r="C14" s="15">
        <f>C13*6500/$F$1</f>
        <v>0</v>
      </c>
      <c r="D14" s="15">
        <f t="shared" ref="D14:F14" si="6">D13*6500/$F$1</f>
        <v>0</v>
      </c>
      <c r="E14" s="15">
        <f t="shared" si="6"/>
        <v>0</v>
      </c>
      <c r="F14" s="15">
        <f t="shared" si="6"/>
        <v>0</v>
      </c>
    </row>
    <row r="15" spans="1:6" x14ac:dyDescent="0.45">
      <c r="B15" s="1" t="s">
        <v>25</v>
      </c>
      <c r="C15" s="15">
        <f>C13*6500/$F$1</f>
        <v>0</v>
      </c>
      <c r="D15" s="15">
        <f t="shared" ref="D15:F15" si="7">D13*6500/$F$1</f>
        <v>0</v>
      </c>
      <c r="E15" s="15">
        <f t="shared" si="7"/>
        <v>0</v>
      </c>
      <c r="F15" s="15">
        <f t="shared" si="7"/>
        <v>0</v>
      </c>
    </row>
    <row r="16" spans="1:6" x14ac:dyDescent="0.45">
      <c r="B16" s="1" t="s">
        <v>4</v>
      </c>
      <c r="C16" s="6">
        <f>C13*210/$F$1</f>
        <v>0</v>
      </c>
      <c r="D16" s="6">
        <f t="shared" ref="D16:F16" si="8">D13*210/$F$1</f>
        <v>0</v>
      </c>
      <c r="E16" s="6">
        <f t="shared" si="8"/>
        <v>0</v>
      </c>
      <c r="F16" s="6">
        <f t="shared" si="8"/>
        <v>0</v>
      </c>
    </row>
    <row r="17" spans="2:6" x14ac:dyDescent="0.45">
      <c r="B17" s="1" t="s">
        <v>5</v>
      </c>
      <c r="C17" s="6">
        <f>35000*1.1/$F$1</f>
        <v>28.518518518518519</v>
      </c>
      <c r="D17" s="6">
        <f t="shared" ref="D17:F17" si="9">35000*1.1/$F$1</f>
        <v>28.518518518518519</v>
      </c>
      <c r="E17" s="6">
        <f t="shared" si="9"/>
        <v>28.518518518518519</v>
      </c>
      <c r="F17" s="6">
        <f t="shared" si="9"/>
        <v>28.518518518518519</v>
      </c>
    </row>
    <row r="18" spans="2:6" x14ac:dyDescent="0.45">
      <c r="B18" s="1" t="s">
        <v>8</v>
      </c>
      <c r="C18" s="6">
        <f>33000/$F$1</f>
        <v>24.444444444444443</v>
      </c>
      <c r="D18" s="6">
        <f t="shared" ref="D18:F18" si="10">33000/$F$1</f>
        <v>24.444444444444443</v>
      </c>
      <c r="E18" s="6">
        <f t="shared" si="10"/>
        <v>24.444444444444443</v>
      </c>
      <c r="F18" s="6">
        <f t="shared" si="10"/>
        <v>24.444444444444443</v>
      </c>
    </row>
    <row r="19" spans="2:6" x14ac:dyDescent="0.45">
      <c r="B19" s="1" t="s">
        <v>9</v>
      </c>
      <c r="C19" s="6">
        <f>30000*1.1/$F$1</f>
        <v>24.444444444444443</v>
      </c>
      <c r="D19" s="6">
        <f t="shared" ref="D19:F19" si="11">30000*1.1/$F$1</f>
        <v>24.444444444444443</v>
      </c>
      <c r="E19" s="6">
        <f t="shared" si="11"/>
        <v>24.444444444444443</v>
      </c>
      <c r="F19" s="6">
        <f t="shared" si="11"/>
        <v>24.444444444444443</v>
      </c>
    </row>
    <row r="20" spans="2:6" x14ac:dyDescent="0.45">
      <c r="B20" s="1" t="s">
        <v>10</v>
      </c>
      <c r="C20" s="6">
        <f>150000*1.1/$F$1</f>
        <v>122.22222222222223</v>
      </c>
      <c r="D20" s="6">
        <f t="shared" ref="D20:F20" si="12">150000*1.1/$F$1</f>
        <v>122.22222222222223</v>
      </c>
      <c r="E20" s="6">
        <f t="shared" si="12"/>
        <v>122.22222222222223</v>
      </c>
      <c r="F20" s="6">
        <f t="shared" si="12"/>
        <v>122.22222222222223</v>
      </c>
    </row>
    <row r="21" spans="2:6" x14ac:dyDescent="0.45">
      <c r="B21" s="1" t="s">
        <v>7</v>
      </c>
      <c r="C21" s="1">
        <v>30</v>
      </c>
      <c r="D21" s="1">
        <v>31</v>
      </c>
      <c r="E21" s="1">
        <v>32</v>
      </c>
      <c r="F21" s="1">
        <v>33</v>
      </c>
    </row>
    <row r="22" spans="2:6" x14ac:dyDescent="0.45">
      <c r="B22" s="1" t="s">
        <v>22</v>
      </c>
      <c r="C22" s="7">
        <f>SUM(C14:C20)</f>
        <v>199.62962962962962</v>
      </c>
      <c r="D22" s="7">
        <f t="shared" ref="D22:F22" si="13">SUM(D14:D20)</f>
        <v>199.62962962962962</v>
      </c>
      <c r="E22" s="7">
        <f t="shared" si="13"/>
        <v>199.62962962962962</v>
      </c>
      <c r="F22" s="7">
        <f t="shared" si="13"/>
        <v>199.62962962962962</v>
      </c>
    </row>
    <row r="23" spans="2:6" x14ac:dyDescent="0.45">
      <c r="B23" s="8" t="s">
        <v>20</v>
      </c>
      <c r="C23" s="9" t="e">
        <f>C8/C4</f>
        <v>#DIV/0!</v>
      </c>
      <c r="D23" s="9" t="e">
        <f>D8/D4</f>
        <v>#DIV/0!</v>
      </c>
      <c r="E23" s="9" t="e">
        <f t="shared" ref="E23:F23" si="14">E8/E4</f>
        <v>#DIV/0!</v>
      </c>
      <c r="F23" s="9" t="e">
        <f t="shared" si="14"/>
        <v>#DIV/0!</v>
      </c>
    </row>
    <row r="24" spans="2:6" x14ac:dyDescent="0.45">
      <c r="B24" s="8" t="s">
        <v>16</v>
      </c>
      <c r="C24" s="9" t="e">
        <f>(C8+C22)/C4</f>
        <v>#DIV/0!</v>
      </c>
      <c r="D24" s="9" t="e">
        <f t="shared" ref="D24:F24" si="15">(D8+D22)/D4</f>
        <v>#DIV/0!</v>
      </c>
      <c r="E24" s="9" t="e">
        <f t="shared" si="15"/>
        <v>#DIV/0!</v>
      </c>
      <c r="F24" s="9" t="e">
        <f t="shared" si="15"/>
        <v>#DIV/0!</v>
      </c>
    </row>
    <row r="25" spans="2:6" x14ac:dyDescent="0.45">
      <c r="B25" s="1" t="s">
        <v>2</v>
      </c>
      <c r="C25" s="11">
        <f>C13*10</f>
        <v>0</v>
      </c>
      <c r="D25" s="11">
        <f>D13*80</f>
        <v>0</v>
      </c>
      <c r="E25" s="11">
        <f>E13*150</f>
        <v>0</v>
      </c>
      <c r="F25" s="11">
        <f>F13*150</f>
        <v>0</v>
      </c>
    </row>
    <row r="26" spans="2:6" x14ac:dyDescent="0.45">
      <c r="B26" s="8" t="s">
        <v>14</v>
      </c>
      <c r="C26" s="10" t="e">
        <f>C24+((C25+C21)/C4)</f>
        <v>#DIV/0!</v>
      </c>
      <c r="D26" s="10" t="e">
        <f t="shared" ref="D26:F26" si="16">D24+((D25+D21)/D4)</f>
        <v>#DIV/0!</v>
      </c>
      <c r="E26" s="10" t="e">
        <f t="shared" si="16"/>
        <v>#DIV/0!</v>
      </c>
      <c r="F26" s="10" t="e">
        <f t="shared" si="16"/>
        <v>#DIV/0!</v>
      </c>
    </row>
    <row r="27" spans="2:6" x14ac:dyDescent="0.45">
      <c r="B27" s="1" t="s">
        <v>11</v>
      </c>
      <c r="C27" s="7" t="e">
        <f>C26*110%*0.0004*C4</f>
        <v>#DIV/0!</v>
      </c>
      <c r="D27" s="7" t="e">
        <f t="shared" ref="D27:F27" si="17">D26*110%*0.0004*D4</f>
        <v>#DIV/0!</v>
      </c>
      <c r="E27" s="7" t="e">
        <f t="shared" si="17"/>
        <v>#DIV/0!</v>
      </c>
      <c r="F27" s="7" t="e">
        <f t="shared" si="17"/>
        <v>#DIV/0!</v>
      </c>
    </row>
    <row r="28" spans="2:6" x14ac:dyDescent="0.45">
      <c r="B28" s="8" t="s">
        <v>15</v>
      </c>
      <c r="C28" s="7" t="e">
        <f>C26+(C27/C4)</f>
        <v>#DIV/0!</v>
      </c>
      <c r="D28" s="7" t="e">
        <f t="shared" ref="D28:F28" si="18">D26+(D27/D4)</f>
        <v>#DIV/0!</v>
      </c>
      <c r="E28" s="7" t="e">
        <f t="shared" si="18"/>
        <v>#DIV/0!</v>
      </c>
      <c r="F28" s="7" t="e">
        <f t="shared" si="18"/>
        <v>#DIV/0!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FCL</vt:lpstr>
      <vt:lpstr>LCL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김동현</cp:lastModifiedBy>
  <dcterms:created xsi:type="dcterms:W3CDTF">2016-07-14T04:05:44Z</dcterms:created>
  <dcterms:modified xsi:type="dcterms:W3CDTF">2022-08-25T01:51:00Z</dcterms:modified>
</cp:coreProperties>
</file>